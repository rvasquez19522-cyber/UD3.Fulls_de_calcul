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</workbook>
</file>

<file path=xl/sharedStrings.xml><?xml version="1.0" encoding="utf-8"?>
<sst xmlns="http://schemas.openxmlformats.org/spreadsheetml/2006/main" count="34" uniqueCount="33">
  <si>
    <t>FACTURA</t>
  </si>
  <si>
    <t>Datos empresa:</t>
  </si>
  <si>
    <t>Nom empresa</t>
  </si>
  <si>
    <t>Número:</t>
  </si>
  <si>
    <t>NIF</t>
  </si>
  <si>
    <t>Adreça</t>
  </si>
  <si>
    <t>Data:</t>
  </si>
  <si>
    <t>Ciutat</t>
  </si>
  <si>
    <t>Client:</t>
  </si>
  <si>
    <t>Comentaris</t>
  </si>
  <si>
    <t>Domicili:</t>
  </si>
  <si>
    <t>NIF:</t>
  </si>
  <si>
    <t>Codi</t>
  </si>
  <si>
    <t>Article</t>
  </si>
  <si>
    <t>Preu Unitari</t>
  </si>
  <si>
    <t>Unitats</t>
  </si>
  <si>
    <t>Subtotal [1]</t>
  </si>
  <si>
    <t>% Descompte</t>
  </si>
  <si>
    <t>Total descompte [2]</t>
  </si>
  <si>
    <t xml:space="preserve">     % IVA</t>
  </si>
  <si>
    <t>Total IVA [3]</t>
  </si>
  <si>
    <t>Total amb IVA [4]</t>
  </si>
  <si>
    <t>Abric talla S</t>
  </si>
  <si>
    <t>Sabates talla 36</t>
  </si>
  <si>
    <t>Llibre de text</t>
  </si>
  <si>
    <t>Patates</t>
  </si>
  <si>
    <t>Import brut [5]</t>
  </si>
  <si>
    <t>Total descomptes [6]</t>
  </si>
  <si>
    <t>Tipus IVA</t>
  </si>
  <si>
    <t>Base Imponible [7]</t>
  </si>
  <si>
    <t>Import IVA [8]</t>
  </si>
  <si>
    <t>Forma de pagament:</t>
  </si>
  <si>
    <t>TOTAL FACTURA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</si>
</sst>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\ %"/>
    <numFmt numFmtId="165" formatCode="#,##0.00\ [$€-C0A];[RED]\-#,##0.00\ [$€-C0A]"/>
  </numFmts>
  <fonts count="8">
    <font>
      <sz val="10.0"/>
      <color rgb="FF000000"/>
      <name val="Arial"/>
      <scheme val="minor"/>
    </font>
    <font>
      <b/>
      <sz val="24.0"/>
      <color theme="1"/>
      <name val="Arial"/>
    </font>
    <font>
      <color theme="1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theme="1"/>
      <name val="Times New Roman"/>
    </font>
    <font>
      <b/>
      <sz val="10.0"/>
      <color theme="1"/>
      <name val="Times New Roman"/>
    </font>
    <font>
      <sz val="14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shrinkToFit="0" vertical="bottom" wrapText="0"/>
    </xf>
    <xf borderId="1" fillId="2" fontId="5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1"/>
    </xf>
    <xf borderId="0" fillId="0" fontId="4" numFmtId="164" xfId="0" applyAlignment="1" applyFont="1" applyNumberFormat="1">
      <alignment shrinkToFit="0" vertical="bottom" wrapText="0"/>
    </xf>
    <xf borderId="0" fillId="0" fontId="4" numFmtId="165" xfId="0" applyAlignment="1" applyFont="1" applyNumberFormat="1">
      <alignment shrinkToFit="0" vertical="bottom" wrapText="0"/>
    </xf>
    <xf borderId="1" fillId="2" fontId="6" numFmtId="0" xfId="0" applyAlignment="1" applyBorder="1" applyFont="1">
      <alignment shrinkToFit="0" vertical="bottom" wrapText="1"/>
    </xf>
    <xf borderId="1" fillId="2" fontId="6" numFmtId="0" xfId="0" applyAlignment="1" applyBorder="1" applyFont="1">
      <alignment shrinkToFit="0" vertical="bottom" wrapText="0"/>
    </xf>
    <xf borderId="1" fillId="2" fontId="3" numFmtId="0" xfId="0" applyAlignment="1" applyBorder="1" applyFont="1">
      <alignment shrinkToFit="0" vertical="bottom" wrapText="0"/>
    </xf>
    <xf borderId="0" fillId="0" fontId="5" numFmtId="165" xfId="0" applyAlignment="1" applyFont="1" applyNumberFormat="1">
      <alignment shrinkToFit="0" vertical="bottom" wrapText="1"/>
    </xf>
    <xf borderId="0" fillId="0" fontId="7" numFmtId="0" xfId="0" applyAlignment="1" applyFont="1">
      <alignment shrinkToFit="0" vertical="bottom" wrapText="1"/>
    </xf>
    <xf borderId="0" fillId="0" fontId="7" numFmtId="165" xfId="0" applyAlignment="1" applyFont="1" applyNumberFormat="1">
      <alignment shrinkToFit="0" vertical="bottom" wrapText="0"/>
    </xf>
    <xf borderId="0" fillId="0" fontId="5" numFmtId="164" xfId="0" applyAlignment="1" applyFont="1" applyNumberForma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1" width="11.5"/>
    <col customWidth="1" min="12" max="26" width="8.63"/>
  </cols>
  <sheetData>
    <row r="1" ht="12.75" customHeight="1">
      <c r="A1" s="1" t="s">
        <v>0</v>
      </c>
      <c r="G1" s="2" t="s">
        <v>1</v>
      </c>
    </row>
    <row r="2" ht="12.75" customHeight="1">
      <c r="G2" s="2" t="s">
        <v>2</v>
      </c>
    </row>
    <row r="3" ht="12.75" customHeight="1">
      <c r="A3" s="3" t="s">
        <v>3</v>
      </c>
      <c r="E3" s="3" t="s">
        <v>4</v>
      </c>
      <c r="G3" s="2" t="s">
        <v>5</v>
      </c>
    </row>
    <row r="4" ht="12.75" customHeight="1">
      <c r="A4" s="3" t="s">
        <v>6</v>
      </c>
      <c r="G4" s="2" t="s">
        <v>7</v>
      </c>
    </row>
    <row r="5" ht="12.75" customHeight="1"/>
    <row r="6" ht="12.75" customHeight="1">
      <c r="A6" s="3" t="s">
        <v>8</v>
      </c>
      <c r="E6" s="2" t="s">
        <v>9</v>
      </c>
    </row>
    <row r="7" ht="12.75" customHeight="1">
      <c r="A7" s="2" t="s">
        <v>10</v>
      </c>
    </row>
    <row r="8" ht="12.75" customHeight="1">
      <c r="A8" s="2" t="s">
        <v>7</v>
      </c>
    </row>
    <row r="9" ht="12.75" customHeight="1">
      <c r="A9" s="2" t="s">
        <v>11</v>
      </c>
    </row>
    <row r="10" ht="12.75" customHeight="1"/>
    <row r="11" ht="12.75" customHeight="1">
      <c r="A11" s="4" t="s">
        <v>12</v>
      </c>
      <c r="B11" s="4" t="s">
        <v>13</v>
      </c>
      <c r="C11" s="4"/>
      <c r="D11" s="4" t="s">
        <v>14</v>
      </c>
      <c r="E11" s="4" t="s">
        <v>15</v>
      </c>
      <c r="F11" s="5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5" t="s">
        <v>21</v>
      </c>
    </row>
    <row r="12" ht="12.75" customHeight="1">
      <c r="A12" s="6">
        <v>123935.0</v>
      </c>
      <c r="B12" s="6" t="s">
        <v>22</v>
      </c>
      <c r="C12" s="6"/>
      <c r="D12" s="6">
        <v>14.99</v>
      </c>
      <c r="E12" s="6">
        <v>2.0</v>
      </c>
      <c r="F12" s="2">
        <f t="shared" ref="F12:F15" si="1">D12*E12</f>
        <v>29.98</v>
      </c>
      <c r="G12" s="7">
        <v>0.05</v>
      </c>
      <c r="H12" s="2">
        <f>F12*G12</f>
        <v>1.499</v>
      </c>
      <c r="I12" s="7">
        <v>0.21</v>
      </c>
      <c r="J12" s="2">
        <f t="shared" ref="J12:J14" si="2">(F12-H12)*I12</f>
        <v>5.98101</v>
      </c>
      <c r="K12" s="2">
        <f t="shared" ref="K12:K15" si="3">F12-H12+J12</f>
        <v>34.46201</v>
      </c>
    </row>
    <row r="13" ht="12.75" customHeight="1">
      <c r="A13" s="6">
        <v>123936.0</v>
      </c>
      <c r="B13" s="6" t="s">
        <v>23</v>
      </c>
      <c r="D13" s="6">
        <v>29.15</v>
      </c>
      <c r="E13" s="2">
        <v>1.0</v>
      </c>
      <c r="F13" s="2">
        <f t="shared" si="1"/>
        <v>29.15</v>
      </c>
      <c r="G13" s="7">
        <v>0.03</v>
      </c>
      <c r="H13" s="2">
        <f>F12*G13</f>
        <v>0.8994</v>
      </c>
      <c r="I13" s="7">
        <v>0.21</v>
      </c>
      <c r="J13" s="2">
        <f t="shared" si="2"/>
        <v>5.932626</v>
      </c>
      <c r="K13" s="2">
        <f t="shared" si="3"/>
        <v>34.183226</v>
      </c>
    </row>
    <row r="14" ht="12.75" customHeight="1">
      <c r="A14" s="6">
        <v>123937.0</v>
      </c>
      <c r="B14" s="6" t="s">
        <v>24</v>
      </c>
      <c r="D14" s="6">
        <v>25.66</v>
      </c>
      <c r="E14" s="2">
        <v>3.0</v>
      </c>
      <c r="F14" s="2">
        <f t="shared" si="1"/>
        <v>76.98</v>
      </c>
      <c r="G14" s="7">
        <v>0.1</v>
      </c>
      <c r="H14" s="2">
        <f t="shared" ref="H14:H15" si="4">F14*G14</f>
        <v>7.698</v>
      </c>
      <c r="I14" s="7">
        <v>0.1</v>
      </c>
      <c r="J14" s="2">
        <f t="shared" si="2"/>
        <v>6.9282</v>
      </c>
      <c r="K14" s="2">
        <f t="shared" si="3"/>
        <v>76.2102</v>
      </c>
    </row>
    <row r="15" ht="12.75" customHeight="1">
      <c r="A15" s="6">
        <v>123938.0</v>
      </c>
      <c r="B15" s="2" t="s">
        <v>25</v>
      </c>
      <c r="D15" s="2">
        <v>0.85</v>
      </c>
      <c r="E15" s="2">
        <v>5.0</v>
      </c>
      <c r="F15" s="2">
        <f t="shared" si="1"/>
        <v>4.25</v>
      </c>
      <c r="G15" s="7">
        <v>0.0</v>
      </c>
      <c r="H15" s="2">
        <f t="shared" si="4"/>
        <v>0</v>
      </c>
      <c r="I15" s="7">
        <v>0.04</v>
      </c>
      <c r="J15" s="2">
        <f>(15-H15)*I15</f>
        <v>0.6</v>
      </c>
      <c r="K15" s="2">
        <f t="shared" si="3"/>
        <v>4.85</v>
      </c>
    </row>
    <row r="16" ht="12.75" customHeight="1">
      <c r="F16" s="2">
        <v>0.0</v>
      </c>
      <c r="H16" s="8">
        <v>0.0</v>
      </c>
      <c r="J16" s="8">
        <v>0.0</v>
      </c>
      <c r="K16" s="8">
        <v>0.0</v>
      </c>
    </row>
    <row r="17" ht="12.75" customHeight="1">
      <c r="F17" s="2">
        <v>0.0</v>
      </c>
      <c r="H17" s="8">
        <v>0.0</v>
      </c>
      <c r="J17" s="8">
        <v>0.0</v>
      </c>
      <c r="K17" s="8">
        <v>0.0</v>
      </c>
    </row>
    <row r="18" ht="12.75" customHeight="1">
      <c r="F18" s="2">
        <v>0.0</v>
      </c>
      <c r="H18" s="8">
        <v>0.0</v>
      </c>
      <c r="J18" s="8">
        <v>0.0</v>
      </c>
      <c r="K18" s="8">
        <v>0.0</v>
      </c>
    </row>
    <row r="19" ht="12.75" customHeight="1">
      <c r="F19" s="2">
        <v>0.0</v>
      </c>
      <c r="H19" s="8">
        <v>0.0</v>
      </c>
      <c r="J19" s="8">
        <v>0.0</v>
      </c>
      <c r="K19" s="8">
        <v>0.0</v>
      </c>
    </row>
    <row r="20" ht="12.75" customHeight="1">
      <c r="F20" s="2">
        <v>0.0</v>
      </c>
      <c r="H20" s="8">
        <v>0.0</v>
      </c>
      <c r="J20" s="8">
        <v>0.0</v>
      </c>
      <c r="K20" s="8">
        <v>0.0</v>
      </c>
    </row>
    <row r="21" ht="12.75" customHeight="1">
      <c r="F21" s="2">
        <v>0.0</v>
      </c>
      <c r="H21" s="8">
        <v>0.0</v>
      </c>
      <c r="J21" s="8">
        <v>0.0</v>
      </c>
      <c r="K21" s="8">
        <v>0.0</v>
      </c>
    </row>
    <row r="22" ht="12.75" customHeight="1"/>
    <row r="23" ht="12.75" customHeight="1">
      <c r="A23" s="9" t="s">
        <v>26</v>
      </c>
      <c r="B23" s="10"/>
      <c r="C23" s="11"/>
      <c r="D23" s="11" t="s">
        <v>27</v>
      </c>
      <c r="E23" s="11"/>
      <c r="F23" s="11" t="s">
        <v>28</v>
      </c>
      <c r="G23" s="11" t="s">
        <v>29</v>
      </c>
      <c r="H23" s="11" t="s">
        <v>30</v>
      </c>
      <c r="J23" s="3"/>
    </row>
    <row r="24" ht="12.75" customHeight="1">
      <c r="C24" s="8"/>
      <c r="D24" s="12"/>
      <c r="E24" s="8"/>
      <c r="F24" s="7"/>
    </row>
    <row r="25" ht="12.75" customHeight="1">
      <c r="B25" s="13">
        <f>SUM(F12:F21)</f>
        <v>140.36</v>
      </c>
      <c r="D25" s="14">
        <f>SUM(H12:H21)</f>
        <v>10.0964</v>
      </c>
      <c r="F25" s="15">
        <v>0.04</v>
      </c>
      <c r="G25" s="6">
        <f t="shared" ref="G25:G27" si="5">SUMIF(I$12:I$21,F25,F$12:F$21)-SUMIF(I$12:I$21,F25,H$12:H$21)</f>
        <v>4.25</v>
      </c>
      <c r="H25" s="6">
        <f t="shared" ref="H25:H27" si="6">G25*F25</f>
        <v>0.17</v>
      </c>
    </row>
    <row r="26" ht="12.75" customHeight="1">
      <c r="F26" s="7">
        <v>0.1</v>
      </c>
      <c r="G26" s="6">
        <f t="shared" si="5"/>
        <v>69.282</v>
      </c>
      <c r="H26" s="6">
        <f t="shared" si="6"/>
        <v>6.9282</v>
      </c>
    </row>
    <row r="27" ht="12.75" customHeight="1">
      <c r="F27" s="7">
        <v>0.21</v>
      </c>
      <c r="G27" s="6">
        <f t="shared" si="5"/>
        <v>56.7316</v>
      </c>
      <c r="H27" s="6">
        <f t="shared" si="6"/>
        <v>11.913636</v>
      </c>
    </row>
    <row r="28" ht="12.75" customHeight="1"/>
    <row r="29" ht="12.75" customHeight="1"/>
    <row r="30" ht="12.75" customHeight="1">
      <c r="A30" s="2" t="s">
        <v>31</v>
      </c>
    </row>
    <row r="31" ht="12.75" customHeight="1">
      <c r="F31" s="2" t="s">
        <v>32</v>
      </c>
      <c r="H31" s="12">
        <f>SUM(K12:K21)</f>
        <v>149.705436</v>
      </c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