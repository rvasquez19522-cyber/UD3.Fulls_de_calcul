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<sst xmlns="http://schemas.openxmlformats.org/spreadsheetml/2006/main" count="43" uniqueCount="35">
  <si>
    <t xml:space="preserve">            QUADERN DEL PROFESSOR</t>
  </si>
  <si>
    <t xml:space="preserve">          ALUMNAT</t>
  </si>
  <si>
    <t>Practiques</t>
  </si>
  <si>
    <t>Exercicis</t>
  </si>
  <si>
    <t>Exàmens</t>
  </si>
  <si>
    <t>Treball</t>
  </si>
  <si>
    <t>Cognoms</t>
  </si>
  <si>
    <t>Nom</t>
  </si>
  <si>
    <t>P1</t>
  </si>
  <si>
    <t>P2</t>
  </si>
  <si>
    <t>P3</t>
  </si>
  <si>
    <t>E1</t>
  </si>
  <si>
    <t>E2</t>
  </si>
  <si>
    <t>E3</t>
  </si>
  <si>
    <t>X1</t>
  </si>
  <si>
    <t>X2</t>
  </si>
  <si>
    <t>X3</t>
  </si>
  <si>
    <t>A casa</t>
  </si>
  <si>
    <t>A classe</t>
  </si>
  <si>
    <t>Nota Final</t>
  </si>
  <si>
    <t>Pelegri</t>
  </si>
  <si>
    <t>Edgar</t>
  </si>
  <si>
    <t>Azanai</t>
  </si>
  <si>
    <t>Youssef</t>
  </si>
  <si>
    <t>Iker</t>
  </si>
  <si>
    <t>Andres</t>
  </si>
  <si>
    <t xml:space="preserve">Luca </t>
  </si>
  <si>
    <t>Gelmetti</t>
  </si>
  <si>
    <t>Manteca</t>
  </si>
  <si>
    <t>Dani</t>
  </si>
  <si>
    <t>Santana</t>
  </si>
  <si>
    <t>Lucas</t>
  </si>
  <si>
    <t>Sintes</t>
  </si>
  <si>
    <t>Raul</t>
  </si>
  <si>
    <t>Barroso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</si>
</sst>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\ %"/>
  </numFmts>
  <fonts count="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shrinkToFit="0" vertical="bottom" wrapText="1"/>
    </xf>
    <xf borderId="0" fillId="0" fontId="4" numFmtId="0" xfId="0" applyFont="1"/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r>
              <a:rPr b="1" i="1">
                <a:solidFill>
                  <a:srgbClr val="000000"/>
                </a:solidFill>
                <a:latin typeface="+mn-lt"/>
              </a:rPr>
              <a:t>NOTAS FINALES DE ALGUNOS ALUMNOS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Hoja1!$B$6:$B$13</c:f>
            </c:strRef>
          </c:cat>
          <c:val>
            <c:numRef>
              <c:f>Hoja1!$N$6:$N$14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Hoja1!$B$6:$B$13</c:f>
            </c:strRef>
          </c:cat>
          <c:val>
            <c:numRef>
              <c:f>Hoja1!$N$14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Hoja1!$B$6:$B$13</c:f>
            </c:strRef>
          </c:cat>
          <c:val>
            <c:numRef>
              <c:f>Hoja1!$O$6:$O$13</c:f>
              <c:numCache/>
            </c:numRef>
          </c:val>
          <c:smooth val="0"/>
        </c:ser>
        <c:axId val="468643346"/>
        <c:axId val="1673021511"/>
      </c:lineChart>
      <c:catAx>
        <c:axId val="468643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021511"/>
      </c:catAx>
      <c:valAx>
        <c:axId val="1673021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Nota Final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643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9</xdr:row>
      <xdr:rowOff>133350</xdr:rowOff>
    </xdr:from>
    <xdr:ext cx="5715000" cy="35337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4" width="11.5"/>
    <col customWidth="1" min="15" max="26" width="8.63"/>
  </cols>
  <sheetData>
    <row r="1" ht="12.75" customHeight="1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  <c r="M1" s="1"/>
      <c r="N1" s="1"/>
    </row>
    <row r="2" ht="12.75" customHeight="1">
      <c r="A2" s="1"/>
      <c r="B2" s="1"/>
      <c r="C2" s="1"/>
      <c r="D2" s="3"/>
      <c r="E2" s="3"/>
      <c r="F2" s="1"/>
      <c r="G2" s="3"/>
      <c r="H2" s="1"/>
      <c r="I2" s="1"/>
      <c r="J2" s="3"/>
      <c r="K2" s="1"/>
      <c r="L2" s="1"/>
      <c r="M2" s="3"/>
      <c r="N2" s="1"/>
    </row>
    <row r="3" ht="12.75" customHeight="1">
      <c r="A3" s="1" t="s">
        <v>1</v>
      </c>
      <c r="B3" s="1"/>
      <c r="C3" s="4" t="s">
        <v>2</v>
      </c>
      <c r="D3" s="4" t="s">
        <v>2</v>
      </c>
      <c r="E3" s="4" t="s">
        <v>2</v>
      </c>
      <c r="F3" s="4" t="s">
        <v>3</v>
      </c>
      <c r="G3" s="4" t="s">
        <v>3</v>
      </c>
      <c r="H3" s="4" t="s">
        <v>3</v>
      </c>
      <c r="I3" s="4" t="s">
        <v>4</v>
      </c>
      <c r="J3" s="4" t="s">
        <v>4</v>
      </c>
      <c r="K3" s="4" t="s">
        <v>4</v>
      </c>
      <c r="L3" s="4" t="s">
        <v>5</v>
      </c>
      <c r="M3" s="4" t="s">
        <v>5</v>
      </c>
      <c r="N3" s="1"/>
    </row>
    <row r="4" ht="12.7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</row>
    <row r="5" ht="12.75" customHeight="1">
      <c r="A5" s="1"/>
      <c r="B5" s="1"/>
      <c r="C5" s="1"/>
      <c r="D5" s="3">
        <v>0.3</v>
      </c>
      <c r="E5" s="3"/>
      <c r="F5" s="1"/>
      <c r="G5" s="3">
        <v>0.1</v>
      </c>
      <c r="H5" s="1"/>
      <c r="I5" s="1"/>
      <c r="J5" s="3">
        <v>0.5</v>
      </c>
      <c r="K5" s="1"/>
      <c r="L5" s="1"/>
      <c r="M5" s="3">
        <v>0.1</v>
      </c>
      <c r="N5" s="1"/>
    </row>
    <row r="6" ht="12.75" customHeight="1">
      <c r="A6" s="5" t="s">
        <v>20</v>
      </c>
      <c r="B6" s="5" t="s">
        <v>21</v>
      </c>
      <c r="C6" s="6">
        <v>8.0</v>
      </c>
      <c r="D6" s="6">
        <v>7.0</v>
      </c>
      <c r="E6" s="6">
        <v>9.0</v>
      </c>
      <c r="F6" s="6">
        <v>6.0</v>
      </c>
      <c r="G6" s="6">
        <v>7.0</v>
      </c>
      <c r="H6" s="6">
        <v>8.0</v>
      </c>
      <c r="I6" s="6">
        <v>9.0</v>
      </c>
      <c r="J6" s="6">
        <v>8.0</v>
      </c>
      <c r="K6" s="6">
        <v>7.0</v>
      </c>
      <c r="L6" s="6">
        <v>7.0</v>
      </c>
      <c r="M6" s="6">
        <v>8.0</v>
      </c>
      <c r="N6" s="5">
        <f t="shared" ref="N6:N13" si="1">((C6+D6+E6)/3)*$D$5 + ((F6+G6+H6)/3)*$G$5 + ((I6+J6+K6)/3)*$J$5 + ((L6+M6)/2)*$M$5</f>
        <v>7.85</v>
      </c>
      <c r="O6" s="5">
        <f t="shared" ref="O6:O13" si="2">$N$14</f>
        <v>7.071458333</v>
      </c>
    </row>
    <row r="7" ht="12.75" customHeight="1">
      <c r="A7" s="5" t="s">
        <v>22</v>
      </c>
      <c r="B7" s="5" t="s">
        <v>23</v>
      </c>
      <c r="C7" s="5">
        <v>9.0</v>
      </c>
      <c r="D7" s="5">
        <v>9.0</v>
      </c>
      <c r="E7" s="5">
        <v>9.0</v>
      </c>
      <c r="F7" s="5">
        <v>8.0</v>
      </c>
      <c r="G7" s="5">
        <v>8.0</v>
      </c>
      <c r="H7" s="5">
        <v>9.0</v>
      </c>
      <c r="I7" s="5">
        <v>8.0</v>
      </c>
      <c r="J7" s="5">
        <v>7.0</v>
      </c>
      <c r="K7" s="5">
        <v>9.0</v>
      </c>
      <c r="L7" s="5">
        <v>7.0</v>
      </c>
      <c r="M7" s="5">
        <v>8.0</v>
      </c>
      <c r="N7" s="5">
        <f t="shared" si="1"/>
        <v>8.283333333</v>
      </c>
      <c r="O7" s="5">
        <f t="shared" si="2"/>
        <v>7.071458333</v>
      </c>
    </row>
    <row r="8" ht="12.75" customHeight="1">
      <c r="A8" s="5" t="s">
        <v>24</v>
      </c>
      <c r="B8" s="5" t="s">
        <v>25</v>
      </c>
      <c r="C8" s="5">
        <v>7.0</v>
      </c>
      <c r="D8" s="5">
        <v>6.0</v>
      </c>
      <c r="E8" s="5">
        <v>7.0</v>
      </c>
      <c r="F8" s="5">
        <v>5.0</v>
      </c>
      <c r="G8" s="5">
        <v>6.0</v>
      </c>
      <c r="H8" s="5">
        <v>6.0</v>
      </c>
      <c r="I8" s="5">
        <v>7.0</v>
      </c>
      <c r="J8" s="5">
        <v>7.0</v>
      </c>
      <c r="K8" s="5">
        <v>6.0</v>
      </c>
      <c r="L8" s="5">
        <v>6.0</v>
      </c>
      <c r="M8" s="5">
        <v>5.0</v>
      </c>
      <c r="N8" s="7">
        <f t="shared" si="1"/>
        <v>6.45</v>
      </c>
      <c r="O8" s="5">
        <f t="shared" si="2"/>
        <v>7.071458333</v>
      </c>
    </row>
    <row r="9" ht="12.75" customHeight="1">
      <c r="A9" s="5" t="s">
        <v>26</v>
      </c>
      <c r="B9" s="5" t="s">
        <v>27</v>
      </c>
      <c r="C9" s="5">
        <v>6.0</v>
      </c>
      <c r="D9" s="5">
        <v>5.0</v>
      </c>
      <c r="E9" s="5">
        <v>5.0</v>
      </c>
      <c r="F9" s="5">
        <v>5.5</v>
      </c>
      <c r="G9" s="5">
        <v>6.0</v>
      </c>
      <c r="H9" s="5">
        <v>7.0</v>
      </c>
      <c r="I9" s="5">
        <v>6.0</v>
      </c>
      <c r="J9" s="5">
        <v>8.0</v>
      </c>
      <c r="K9" s="5">
        <v>5.0</v>
      </c>
      <c r="L9" s="5">
        <v>7.0</v>
      </c>
      <c r="M9" s="5">
        <v>6.0</v>
      </c>
      <c r="N9" s="5">
        <f t="shared" si="1"/>
        <v>6.033333333</v>
      </c>
      <c r="O9" s="5">
        <f t="shared" si="2"/>
        <v>7.071458333</v>
      </c>
    </row>
    <row r="10" ht="12.75" customHeight="1">
      <c r="A10" s="5" t="s">
        <v>28</v>
      </c>
      <c r="B10" s="5" t="s">
        <v>29</v>
      </c>
      <c r="C10" s="5">
        <v>6.0</v>
      </c>
      <c r="D10" s="5">
        <v>7.0</v>
      </c>
      <c r="E10" s="5">
        <v>5.0</v>
      </c>
      <c r="F10" s="5">
        <v>8.0</v>
      </c>
      <c r="G10" s="5">
        <v>6.0</v>
      </c>
      <c r="H10" s="5">
        <v>7.0</v>
      </c>
      <c r="I10" s="5">
        <v>7.8</v>
      </c>
      <c r="J10" s="5">
        <v>9.0</v>
      </c>
      <c r="K10" s="5">
        <v>6.0</v>
      </c>
      <c r="L10" s="5">
        <v>8.0</v>
      </c>
      <c r="M10" s="5">
        <v>7.0</v>
      </c>
      <c r="N10" s="5">
        <f t="shared" si="1"/>
        <v>7.05</v>
      </c>
      <c r="O10" s="5">
        <f t="shared" si="2"/>
        <v>7.071458333</v>
      </c>
    </row>
    <row r="11" ht="12.75" customHeight="1">
      <c r="A11" s="5" t="s">
        <v>30</v>
      </c>
      <c r="B11" s="5" t="s">
        <v>31</v>
      </c>
      <c r="C11" s="5">
        <v>6.0</v>
      </c>
      <c r="D11" s="5">
        <v>6.0</v>
      </c>
      <c r="E11" s="5">
        <v>6.0</v>
      </c>
      <c r="F11" s="5">
        <v>5.0</v>
      </c>
      <c r="G11" s="5">
        <v>7.0</v>
      </c>
      <c r="H11" s="5">
        <v>8.0</v>
      </c>
      <c r="I11" s="5">
        <v>5.0</v>
      </c>
      <c r="J11" s="5">
        <v>6.0</v>
      </c>
      <c r="K11" s="5">
        <v>5.7</v>
      </c>
      <c r="L11" s="5">
        <v>8.1</v>
      </c>
      <c r="M11" s="5">
        <v>6.0</v>
      </c>
      <c r="N11" s="5">
        <f t="shared" si="1"/>
        <v>5.955</v>
      </c>
      <c r="O11" s="5">
        <f t="shared" si="2"/>
        <v>7.071458333</v>
      </c>
    </row>
    <row r="12" ht="12.75" customHeight="1">
      <c r="A12" s="5" t="s">
        <v>32</v>
      </c>
      <c r="B12" s="5" t="s">
        <v>33</v>
      </c>
      <c r="C12" s="5">
        <v>8.0</v>
      </c>
      <c r="D12" s="5">
        <v>7.0</v>
      </c>
      <c r="E12" s="5">
        <v>9.0</v>
      </c>
      <c r="F12" s="5">
        <v>9.0</v>
      </c>
      <c r="G12" s="5">
        <v>6.0</v>
      </c>
      <c r="H12" s="5">
        <v>7.0</v>
      </c>
      <c r="I12" s="5">
        <v>5.0</v>
      </c>
      <c r="J12" s="5">
        <v>7.0</v>
      </c>
      <c r="K12" s="5">
        <v>8.0</v>
      </c>
      <c r="L12" s="5">
        <v>8.0</v>
      </c>
      <c r="M12" s="5">
        <v>7.0</v>
      </c>
      <c r="N12" s="5">
        <f t="shared" si="1"/>
        <v>7.216666667</v>
      </c>
      <c r="O12" s="5">
        <f t="shared" si="2"/>
        <v>7.071458333</v>
      </c>
    </row>
    <row r="13" ht="12.75" customHeight="1">
      <c r="A13" s="5" t="s">
        <v>34</v>
      </c>
      <c r="B13" s="5" t="s">
        <v>33</v>
      </c>
      <c r="C13" s="5">
        <v>7.0</v>
      </c>
      <c r="D13" s="5">
        <v>6.0</v>
      </c>
      <c r="E13" s="5">
        <v>8.0</v>
      </c>
      <c r="F13" s="5">
        <v>5.0</v>
      </c>
      <c r="G13" s="5">
        <v>7.0</v>
      </c>
      <c r="H13" s="5">
        <v>6.0</v>
      </c>
      <c r="I13" s="5">
        <v>9.0</v>
      </c>
      <c r="J13" s="5">
        <v>9.0</v>
      </c>
      <c r="K13" s="5">
        <v>8.0</v>
      </c>
      <c r="L13" s="5">
        <v>6.0</v>
      </c>
      <c r="M13" s="5">
        <v>8.0</v>
      </c>
      <c r="N13" s="5">
        <f t="shared" si="1"/>
        <v>7.733333333</v>
      </c>
      <c r="O13" s="5">
        <f t="shared" si="2"/>
        <v>7.071458333</v>
      </c>
    </row>
    <row r="14" ht="12.75" customHeight="1">
      <c r="N14" s="5">
        <f>AVERAGE(N6:N13)</f>
        <v>7.071458333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