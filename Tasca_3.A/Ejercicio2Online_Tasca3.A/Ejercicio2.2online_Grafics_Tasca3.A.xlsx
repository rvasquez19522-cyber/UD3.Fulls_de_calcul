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55" windowHeight="525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<sst xmlns="http://schemas.openxmlformats.org/spreadsheetml/2006/main" count="46" uniqueCount="38">
  <si>
    <t xml:space="preserve">            QUADERN DEL PROFESSOR</t>
  </si>
  <si>
    <t>Intervalo</t>
  </si>
  <si>
    <t>Alumnos</t>
  </si>
  <si>
    <t>0-1</t>
  </si>
  <si>
    <t xml:space="preserve">          ALUMNAT</t>
  </si>
  <si>
    <t>Practiques</t>
  </si>
  <si>
    <t>Exercicis</t>
  </si>
  <si>
    <t>Exàmens</t>
  </si>
  <si>
    <t>Treball</t>
  </si>
  <si>
    <t>Cognoms</t>
  </si>
  <si>
    <t>Nom</t>
  </si>
  <si>
    <t>P1</t>
  </si>
  <si>
    <t>P2</t>
  </si>
  <si>
    <t>P3</t>
  </si>
  <si>
    <t>E1</t>
  </si>
  <si>
    <t>E2</t>
  </si>
  <si>
    <t>E3</t>
  </si>
  <si>
    <t>X1</t>
  </si>
  <si>
    <t>X2</t>
  </si>
  <si>
    <t>X3</t>
  </si>
  <si>
    <t>A casa</t>
  </si>
  <si>
    <t>A classe</t>
  </si>
  <si>
    <t>Nota Final</t>
  </si>
  <si>
    <t>Pelegri</t>
  </si>
  <si>
    <t>Edgar</t>
  </si>
  <si>
    <t>Azanai</t>
  </si>
  <si>
    <t>Youssef</t>
  </si>
  <si>
    <t>Iker</t>
  </si>
  <si>
    <t>Andres</t>
  </si>
  <si>
    <t xml:space="preserve">Luca </t>
  </si>
  <si>
    <t>Gelmetti</t>
  </si>
  <si>
    <t>Manteca</t>
  </si>
  <si>
    <t>Dani</t>
  </si>
  <si>
    <t>Santana</t>
  </si>
  <si>
    <t>Lucas</t>
  </si>
  <si>
    <t>Sintes</t>
  </si>
  <si>
    <t>Raul</t>
  </si>
  <si>
    <t>Barroso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</si>
</sst>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0.00&quot; &quot;%"/>
    <numFmt numFmtId="179" formatCode="d\-m"/>
  </numFmts>
  <fonts count="25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color theme="1"/>
      <name val="Times New Roman"/>
      <charset val="134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 applyFont="1" applyAlignment="1"/>
    <xf numFmtId="0" fontId="1" fillId="2" borderId="0" xfId="0" applyFont="1" applyFill="1" applyBorder="1" applyAlignment="1"/>
    <xf numFmtId="0" fontId="2" fillId="2" borderId="0" xfId="0" applyFont="1" applyFill="1" applyBorder="1" applyAlignment="1"/>
    <xf numFmtId="178" fontId="1" fillId="2" borderId="0" xfId="0" applyNumberFormat="1" applyFont="1" applyFill="1" applyBorder="1" applyAlignment="1"/>
    <xf numFmtId="0" fontId="3" fillId="2" borderId="0" xfId="0" applyFont="1" applyFill="1" applyBorder="1" applyAlignment="1">
      <alignment wrapText="1"/>
    </xf>
    <xf numFmtId="0" fontId="4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/>
    <xf numFmtId="179" fontId="4" fillId="0" borderId="0" xfId="0" applyNumberFormat="1" applyFont="1" applyAlignment="1"/>
    <xf numFmtId="0" fontId="1" fillId="0" borderId="0" xfId="0" applyFont="1" applyAlignme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s-E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Alumnos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explosion val="0"/>
          <c:dPt>
            <c:idx val="0"/>
            <c:bubble3D val="0"/>
            <c:spPr>
              <a:solidFill>
                <a:srgbClr val="4F81BD"/>
              </a:solidFill>
            </c:spPr>
          </c:dPt>
          <c:dPt>
            <c:idx val="1"/>
            <c:bubble3D val="0"/>
            <c:spPr>
              <a:solidFill>
                <a:srgbClr val="C0504D"/>
              </a:solidFill>
            </c:spPr>
          </c:dPt>
          <c:dPt>
            <c:idx val="2"/>
            <c:bubble3D val="0"/>
            <c:spPr>
              <a:solidFill>
                <a:srgbClr val="9BBB59"/>
              </a:solidFill>
            </c:spPr>
          </c:dPt>
          <c:dPt>
            <c:idx val="3"/>
            <c:bubble3D val="0"/>
            <c:spPr>
              <a:solidFill>
                <a:srgbClr val="8064A2"/>
              </a:solidFill>
            </c:spPr>
          </c:dPt>
          <c:dPt>
            <c:idx val="4"/>
            <c:bubble3D val="0"/>
            <c:spPr>
              <a:solidFill>
                <a:srgbClr val="4BACC6"/>
              </a:solidFill>
            </c:spPr>
          </c:dPt>
          <c:dPt>
            <c:idx val="5"/>
            <c:bubble3D val="0"/>
            <c:spPr>
              <a:solidFill>
                <a:srgbClr val="F79646"/>
              </a:solidFill>
            </c:spPr>
          </c:dPt>
          <c:dPt>
            <c:idx val="6"/>
            <c:bubble3D val="0"/>
            <c:spPr>
              <a:solidFill>
                <a:srgbClr val="84A7D1"/>
              </a:solidFill>
            </c:spPr>
          </c:dPt>
          <c:dPt>
            <c:idx val="7"/>
            <c:bubble3D val="0"/>
            <c:spPr>
              <a:solidFill>
                <a:srgbClr val="D38582"/>
              </a:solidFill>
            </c:spPr>
          </c:dPt>
          <c:dPt>
            <c:idx val="8"/>
            <c:bubble3D val="0"/>
            <c:spPr>
              <a:solidFill>
                <a:srgbClr val="B9CF8B"/>
              </a:solidFill>
            </c:spPr>
          </c:dPt>
          <c:dPt>
            <c:idx val="9"/>
            <c:bubble3D val="0"/>
            <c:spPr>
              <a:solidFill>
                <a:srgbClr val="A693BE"/>
              </a:solidFill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s-E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Hoja1!$P$2:$P$11</c:f>
              <c:strCache>
                <c:ptCount val="10"/>
                <c:pt idx="0">
                  <c:v>0-1</c:v>
                </c:pt>
                <c:pt idx="1" c:formatCode="d\-m">
                  <c:v>1-2</c:v>
                </c:pt>
                <c:pt idx="2" c:formatCode="d\-m">
                  <c:v>2-3</c:v>
                </c:pt>
                <c:pt idx="3" c:formatCode="d\-m">
                  <c:v>3-4</c:v>
                </c:pt>
                <c:pt idx="4" c:formatCode="d\-m">
                  <c:v>4-5</c:v>
                </c:pt>
                <c:pt idx="5" c:formatCode="d\-m">
                  <c:v>5-6</c:v>
                </c:pt>
                <c:pt idx="6" c:formatCode="d\-m">
                  <c:v>6-7</c:v>
                </c:pt>
                <c:pt idx="7" c:formatCode="d\-m">
                  <c:v>7-8</c:v>
                </c:pt>
                <c:pt idx="8" c:formatCode="d\-m">
                  <c:v>8-9</c:v>
                </c:pt>
                <c:pt idx="9" c:formatCode="d\-m">
                  <c:v>9-10</c:v>
                </c:pt>
              </c:strCache>
            </c:strRef>
          </c:cat>
          <c:val>
            <c:numRef>
              <c:f>Hoja1!$Q$2:$Q$11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b958328-4322-4980-8435-7001b6d57863}"/>
      </c:ext>
    </c:extLst>
  </c:chart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552450</xdr:colOff>
      <xdr:row>16</xdr:row>
      <xdr:rowOff>95250</xdr:rowOff>
    </xdr:from>
    <xdr:ext cx="5715000" cy="3533775"/>
    <xdr:graphicFrame>
      <xdr:nvGraphicFramePr>
        <xdr:cNvPr id="2" name="Chart 1" title="Gràfic"/>
        <xdr:cNvGraphicFramePr/>
      </xdr:nvGraphicFramePr>
      <xdr:xfrm>
        <a:off x="6689090" y="2686050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00"/>
  <sheetViews>
    <sheetView tabSelected="1" topLeftCell="A7" workbookViewId="0">
      <selection activeCell="A1" sqref="A1"/>
    </sheetView>
  </sheetViews>
  <sheetFormatPr defaultColWidth="12.6285714285714" defaultRowHeight="15" customHeight="1"/>
  <cols>
    <col min="1" max="14" width="11.5047619047619" customWidth="1"/>
    <col min="15" max="26" width="8.62857142857143" customWidth="1"/>
  </cols>
  <sheetData>
    <row r="1" ht="12.75" customHeight="1" spans="1:17">
      <c r="A1" s="1"/>
      <c r="B1" s="1"/>
      <c r="C1" s="1"/>
      <c r="D1" s="1"/>
      <c r="E1" s="1"/>
      <c r="F1" s="2" t="s">
        <v>0</v>
      </c>
      <c r="G1" s="1"/>
      <c r="H1" s="1"/>
      <c r="I1" s="1"/>
      <c r="J1" s="1"/>
      <c r="K1" s="1"/>
      <c r="L1" s="1"/>
      <c r="M1" s="1"/>
      <c r="N1" s="1"/>
      <c r="P1" s="7" t="s">
        <v>1</v>
      </c>
      <c r="Q1" s="7" t="s">
        <v>2</v>
      </c>
    </row>
    <row r="2" ht="12.75" customHeight="1" spans="1:17">
      <c r="A2" s="1"/>
      <c r="B2" s="1"/>
      <c r="C2" s="1"/>
      <c r="D2" s="3"/>
      <c r="E2" s="3"/>
      <c r="F2" s="1"/>
      <c r="G2" s="3"/>
      <c r="H2" s="1"/>
      <c r="I2" s="1"/>
      <c r="J2" s="3"/>
      <c r="K2" s="1"/>
      <c r="L2" s="1"/>
      <c r="M2" s="3"/>
      <c r="N2" s="1"/>
      <c r="P2" s="7" t="s">
        <v>3</v>
      </c>
      <c r="Q2" s="5">
        <f>COUNTIF(N6:N13,"&gt;=0")-COUNTIF(N6:N13,"&gt;1")</f>
        <v>0</v>
      </c>
    </row>
    <row r="3" ht="12.75" customHeight="1" spans="1:17">
      <c r="A3" s="1" t="s">
        <v>4</v>
      </c>
      <c r="B3" s="1"/>
      <c r="C3" s="4" t="s">
        <v>5</v>
      </c>
      <c r="D3" s="4" t="s">
        <v>5</v>
      </c>
      <c r="E3" s="4" t="s">
        <v>5</v>
      </c>
      <c r="F3" s="4" t="s">
        <v>6</v>
      </c>
      <c r="G3" s="4" t="s">
        <v>6</v>
      </c>
      <c r="H3" s="4" t="s">
        <v>6</v>
      </c>
      <c r="I3" s="4" t="s">
        <v>7</v>
      </c>
      <c r="J3" s="4" t="s">
        <v>7</v>
      </c>
      <c r="K3" s="4" t="s">
        <v>7</v>
      </c>
      <c r="L3" s="4" t="s">
        <v>8</v>
      </c>
      <c r="M3" s="4" t="s">
        <v>8</v>
      </c>
      <c r="N3" s="1"/>
      <c r="P3" s="8">
        <v>45689</v>
      </c>
      <c r="Q3" s="5">
        <f>COUNTIF(N6:N13,"&gt;=1")-COUNTIF(N6:N13,"&gt;2")</f>
        <v>0</v>
      </c>
    </row>
    <row r="4" ht="12.75" customHeight="1" spans="1:17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22</v>
      </c>
      <c r="P4" s="8">
        <v>45718</v>
      </c>
      <c r="Q4" s="5">
        <f>COUNTIF(N6:N13,"&gt;=2")-COUNTIF(N6:N13,"&gt;3")</f>
        <v>0</v>
      </c>
    </row>
    <row r="5" ht="12.75" customHeight="1" spans="1:17">
      <c r="A5" s="1"/>
      <c r="B5" s="1"/>
      <c r="C5" s="1"/>
      <c r="D5" s="3">
        <v>0.3</v>
      </c>
      <c r="E5" s="3"/>
      <c r="F5" s="1"/>
      <c r="G5" s="3">
        <v>0.1</v>
      </c>
      <c r="H5" s="1"/>
      <c r="I5" s="1"/>
      <c r="J5" s="3">
        <v>0.5</v>
      </c>
      <c r="K5" s="1"/>
      <c r="L5" s="1"/>
      <c r="M5" s="3">
        <v>0.1</v>
      </c>
      <c r="N5" s="1"/>
      <c r="P5" s="8">
        <v>45750</v>
      </c>
      <c r="Q5" s="5">
        <f>COUNTIF(N6:N13,"&gt;=3")-COUNTIF(N6:N13,"&gt;4")</f>
        <v>0</v>
      </c>
    </row>
    <row r="6" ht="12.75" customHeight="1" spans="1:17">
      <c r="A6" s="5" t="s">
        <v>23</v>
      </c>
      <c r="B6" s="5" t="s">
        <v>24</v>
      </c>
      <c r="C6" s="6">
        <v>8</v>
      </c>
      <c r="D6" s="6">
        <v>7</v>
      </c>
      <c r="E6" s="6">
        <v>9</v>
      </c>
      <c r="F6" s="6">
        <v>6</v>
      </c>
      <c r="G6" s="6">
        <v>7</v>
      </c>
      <c r="H6" s="6">
        <v>8</v>
      </c>
      <c r="I6" s="6">
        <v>9</v>
      </c>
      <c r="J6" s="6">
        <v>8</v>
      </c>
      <c r="K6" s="6">
        <v>7</v>
      </c>
      <c r="L6" s="6">
        <v>7</v>
      </c>
      <c r="M6" s="6">
        <v>8</v>
      </c>
      <c r="N6" s="5">
        <f t="shared" ref="N6:N13" si="0">((C6+D6+E6)/3)*$D$5+((F6+G6+H6)/3)*$G$5+((I6+J6+K6)/3)*$J$5+((L6+M6)/2)*$M$5</f>
        <v>7.85</v>
      </c>
      <c r="P6" s="8">
        <v>45781</v>
      </c>
      <c r="Q6" s="5">
        <f>COUNTIF(N6:N13,"&gt;=4")-COUNTIF(N6:N13,"&gt;5")</f>
        <v>0</v>
      </c>
    </row>
    <row r="7" ht="12.75" customHeight="1" spans="1:17">
      <c r="A7" s="5" t="s">
        <v>25</v>
      </c>
      <c r="B7" s="5" t="s">
        <v>26</v>
      </c>
      <c r="C7" s="5">
        <v>9</v>
      </c>
      <c r="D7" s="5">
        <v>9</v>
      </c>
      <c r="E7" s="5">
        <v>9</v>
      </c>
      <c r="F7" s="5">
        <v>8</v>
      </c>
      <c r="G7" s="5">
        <v>8</v>
      </c>
      <c r="H7" s="5">
        <v>9</v>
      </c>
      <c r="I7" s="5">
        <v>8</v>
      </c>
      <c r="J7" s="5">
        <v>7</v>
      </c>
      <c r="K7" s="5">
        <v>9</v>
      </c>
      <c r="L7" s="5">
        <v>7</v>
      </c>
      <c r="M7" s="5">
        <v>8</v>
      </c>
      <c r="N7" s="5">
        <f t="shared" si="0"/>
        <v>8.28333333333333</v>
      </c>
      <c r="P7" s="8">
        <v>45813</v>
      </c>
      <c r="Q7" s="5">
        <f>COUNTIF(N6:N13,"&gt;=5")-COUNTIF(N6:N13,"&gt;6")</f>
        <v>1</v>
      </c>
    </row>
    <row r="8" ht="12.75" customHeight="1" spans="1:17">
      <c r="A8" s="5" t="s">
        <v>27</v>
      </c>
      <c r="B8" s="5" t="s">
        <v>28</v>
      </c>
      <c r="C8" s="5">
        <v>7</v>
      </c>
      <c r="D8" s="5">
        <v>6</v>
      </c>
      <c r="E8" s="5">
        <v>7</v>
      </c>
      <c r="F8" s="5">
        <v>5</v>
      </c>
      <c r="G8" s="5">
        <v>6</v>
      </c>
      <c r="H8" s="5">
        <v>6</v>
      </c>
      <c r="I8" s="5">
        <v>7</v>
      </c>
      <c r="J8" s="5">
        <v>7</v>
      </c>
      <c r="K8" s="5">
        <v>6</v>
      </c>
      <c r="L8" s="5">
        <v>6</v>
      </c>
      <c r="M8" s="5">
        <v>5</v>
      </c>
      <c r="N8" s="9">
        <f t="shared" si="0"/>
        <v>6.45</v>
      </c>
      <c r="P8" s="8">
        <v>45844</v>
      </c>
      <c r="Q8" s="5">
        <f>COUNTIF(N6:N13,"&gt;=6")-COUNTIF(N6:N13,"&gt;7")</f>
        <v>2</v>
      </c>
    </row>
    <row r="9" ht="12.75" customHeight="1" spans="1:17">
      <c r="A9" s="5" t="s">
        <v>29</v>
      </c>
      <c r="B9" s="5" t="s">
        <v>30</v>
      </c>
      <c r="C9" s="5">
        <v>6</v>
      </c>
      <c r="D9" s="5">
        <v>5</v>
      </c>
      <c r="E9" s="5">
        <v>5</v>
      </c>
      <c r="F9" s="5">
        <v>5.5</v>
      </c>
      <c r="G9" s="5">
        <v>6</v>
      </c>
      <c r="H9" s="5">
        <v>7</v>
      </c>
      <c r="I9" s="5">
        <v>6</v>
      </c>
      <c r="J9" s="5">
        <v>8</v>
      </c>
      <c r="K9" s="5">
        <v>5</v>
      </c>
      <c r="L9" s="5">
        <v>7</v>
      </c>
      <c r="M9" s="5">
        <v>6</v>
      </c>
      <c r="N9" s="5">
        <f t="shared" si="0"/>
        <v>6.03333333333333</v>
      </c>
      <c r="P9" s="8">
        <v>45876</v>
      </c>
      <c r="Q9" s="5">
        <f>COUNTIF(N6:N13,"&gt;=7")-COUNTIF(N6:N13,"&gt;8")</f>
        <v>4</v>
      </c>
    </row>
    <row r="10" ht="12.75" customHeight="1" spans="1:17">
      <c r="A10" s="5" t="s">
        <v>31</v>
      </c>
      <c r="B10" s="5" t="s">
        <v>32</v>
      </c>
      <c r="C10" s="5">
        <v>6</v>
      </c>
      <c r="D10" s="5">
        <v>7</v>
      </c>
      <c r="E10" s="5">
        <v>5</v>
      </c>
      <c r="F10" s="5">
        <v>8</v>
      </c>
      <c r="G10" s="5">
        <v>6</v>
      </c>
      <c r="H10" s="5">
        <v>7</v>
      </c>
      <c r="I10" s="5">
        <v>7.8</v>
      </c>
      <c r="J10" s="5">
        <v>9</v>
      </c>
      <c r="K10" s="5">
        <v>6</v>
      </c>
      <c r="L10" s="5">
        <v>8</v>
      </c>
      <c r="M10" s="5">
        <v>7</v>
      </c>
      <c r="N10" s="5">
        <f t="shared" si="0"/>
        <v>7.05</v>
      </c>
      <c r="P10" s="8">
        <v>45908</v>
      </c>
      <c r="Q10" s="5">
        <f>COUNTIF(N6:N13,"&gt;=8")-COUNTIF(N6:N13,"&gt;9")</f>
        <v>1</v>
      </c>
    </row>
    <row r="11" ht="12.75" customHeight="1" spans="1:17">
      <c r="A11" s="5" t="s">
        <v>33</v>
      </c>
      <c r="B11" s="5" t="s">
        <v>34</v>
      </c>
      <c r="C11" s="5">
        <v>6</v>
      </c>
      <c r="D11" s="5">
        <v>6</v>
      </c>
      <c r="E11" s="5">
        <v>6</v>
      </c>
      <c r="F11" s="5">
        <v>5</v>
      </c>
      <c r="G11" s="5">
        <v>7</v>
      </c>
      <c r="H11" s="5">
        <v>8</v>
      </c>
      <c r="I11" s="5">
        <v>5</v>
      </c>
      <c r="J11" s="5">
        <v>6</v>
      </c>
      <c r="K11" s="5">
        <v>5.7</v>
      </c>
      <c r="L11" s="5">
        <v>8.1</v>
      </c>
      <c r="M11" s="5">
        <v>6</v>
      </c>
      <c r="N11" s="5">
        <f t="shared" si="0"/>
        <v>5.955</v>
      </c>
      <c r="P11" s="8">
        <v>45939</v>
      </c>
      <c r="Q11" s="5">
        <f>COUNTIF(N6:N13,"&gt;=9")-COUNTIF(N6:N13,"&gt;10")</f>
        <v>0</v>
      </c>
    </row>
    <row r="12" ht="12.75" customHeight="1" spans="1:14">
      <c r="A12" s="5" t="s">
        <v>35</v>
      </c>
      <c r="B12" s="5" t="s">
        <v>36</v>
      </c>
      <c r="C12" s="5">
        <v>8</v>
      </c>
      <c r="D12" s="5">
        <v>7</v>
      </c>
      <c r="E12" s="5">
        <v>9</v>
      </c>
      <c r="F12" s="5">
        <v>9</v>
      </c>
      <c r="G12" s="5">
        <v>6</v>
      </c>
      <c r="H12" s="5">
        <v>7</v>
      </c>
      <c r="I12" s="5">
        <v>5</v>
      </c>
      <c r="J12" s="5">
        <v>7</v>
      </c>
      <c r="K12" s="5">
        <v>8</v>
      </c>
      <c r="L12" s="5">
        <v>8</v>
      </c>
      <c r="M12" s="5">
        <v>7</v>
      </c>
      <c r="N12" s="5">
        <f t="shared" si="0"/>
        <v>7.21666666666667</v>
      </c>
    </row>
    <row r="13" ht="12.75" customHeight="1" spans="1:14">
      <c r="A13" s="5" t="s">
        <v>37</v>
      </c>
      <c r="B13" s="5" t="s">
        <v>36</v>
      </c>
      <c r="C13" s="5">
        <v>7</v>
      </c>
      <c r="D13" s="5">
        <v>6</v>
      </c>
      <c r="E13" s="5">
        <v>8</v>
      </c>
      <c r="F13" s="5">
        <v>5</v>
      </c>
      <c r="G13" s="5">
        <v>7</v>
      </c>
      <c r="H13" s="5">
        <v>6</v>
      </c>
      <c r="I13" s="5">
        <v>9</v>
      </c>
      <c r="J13" s="5">
        <v>9</v>
      </c>
      <c r="K13" s="5">
        <v>8</v>
      </c>
      <c r="L13" s="5">
        <v>6</v>
      </c>
      <c r="M13" s="5">
        <v>8</v>
      </c>
      <c r="N13" s="5">
        <f t="shared" si="0"/>
        <v>7.73333333333333</v>
      </c>
    </row>
    <row r="14" ht="12.75" customHeight="1" spans="14:14">
      <c r="N14" s="5">
        <f>AVERAGE(N6:N13)</f>
        <v>7.07145833333333</v>
      </c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875" right="0.7875" top="0.7875" bottom="0.7875" header="0" footer="0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Russell</cp:lastModifiedBy>
  <dcterms:created xsi:type="dcterms:W3CDTF">2025-11-09T13:01:45Z</dcterms:created>
  <dcterms:modified xsi:type="dcterms:W3CDTF">2025-11-09T13:01:50Z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CE348EAA962D493DAE08E7AFF8483981_12</vt:lpwstr>
  </property>
  <property fmtid="{D5CDD505-2E9C-101B-9397-08002B2CF9AE}" pid="3" name="KSOProductBuildVer">
    <vt:lpwstr>3082-12.2.0.23155</vt:lpwstr>
  </property>
</Properties>
</file>